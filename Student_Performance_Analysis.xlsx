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443f3fe96dc7902/Documents/C.Okoro CV Folder (and all that comes with it)/"/>
    </mc:Choice>
  </mc:AlternateContent>
  <xr:revisionPtr revIDLastSave="9" documentId="13_ncr:1_{0F074FAD-BAC9-4A30-85D3-65CE1EDEA2D8}" xr6:coauthVersionLast="47" xr6:coauthVersionMax="47" xr10:uidLastSave="{EF62199A-2F10-4774-A4F4-B018CD3F3783}"/>
  <bookViews>
    <workbookView xWindow="-120" yWindow="-120" windowWidth="29040" windowHeight="15720" activeTab="3" xr2:uid="{58A7C3C6-C043-4C02-BD6C-EB23FFEA2E62}"/>
  </bookViews>
  <sheets>
    <sheet name="Student Scores" sheetId="1" r:id="rId1"/>
    <sheet name="Dashboard" sheetId="2" r:id="rId2"/>
    <sheet name="Student Search" sheetId="3" r:id="rId3"/>
    <sheet name="Pivot Analysis" sheetId="4" r:id="rId4"/>
  </sheets>
  <definedNames>
    <definedName name="Slicer_Gender">#N/A</definedName>
    <definedName name="Slicer_Grad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3" l="1"/>
  <c r="C15" i="3"/>
  <c r="C13" i="3"/>
  <c r="C11" i="3"/>
  <c r="C7" i="3"/>
  <c r="C9" i="3"/>
  <c r="I3" i="1"/>
  <c r="I12" i="1"/>
  <c r="I5" i="1"/>
  <c r="I7" i="1"/>
  <c r="I6" i="1"/>
  <c r="I10" i="1"/>
  <c r="I8" i="1"/>
  <c r="I11" i="1"/>
  <c r="I4" i="1"/>
  <c r="I9" i="1"/>
  <c r="H12" i="1"/>
  <c r="H5" i="1"/>
  <c r="H7" i="1"/>
  <c r="H6" i="1"/>
  <c r="H10" i="1"/>
  <c r="H3" i="1"/>
  <c r="H8" i="1"/>
  <c r="H11" i="1"/>
  <c r="H4" i="1"/>
  <c r="H9" i="1"/>
  <c r="L3" i="1" l="1"/>
  <c r="L6" i="1"/>
  <c r="L7" i="1"/>
  <c r="L8" i="1"/>
  <c r="L9" i="1"/>
  <c r="L11" i="1"/>
  <c r="L12" i="1"/>
  <c r="L10" i="1"/>
  <c r="L4" i="1"/>
  <c r="L5" i="1"/>
  <c r="J12" i="1"/>
  <c r="K12" i="1"/>
  <c r="J5" i="1"/>
  <c r="K5" i="1"/>
  <c r="J7" i="1"/>
  <c r="K7" i="1"/>
  <c r="J6" i="1"/>
  <c r="K6" i="1"/>
  <c r="J10" i="1"/>
  <c r="K10" i="1"/>
  <c r="J3" i="1"/>
  <c r="K3" i="1"/>
  <c r="J8" i="1"/>
  <c r="K8" i="1"/>
  <c r="J11" i="1"/>
  <c r="K11" i="1"/>
  <c r="J4" i="1"/>
  <c r="K4" i="1"/>
  <c r="J9" i="1"/>
  <c r="K9" i="1"/>
</calcChain>
</file>

<file path=xl/sharedStrings.xml><?xml version="1.0" encoding="utf-8"?>
<sst xmlns="http://schemas.openxmlformats.org/spreadsheetml/2006/main" count="99" uniqueCount="69">
  <si>
    <t>Student ID</t>
  </si>
  <si>
    <t>Name</t>
  </si>
  <si>
    <t>Math</t>
  </si>
  <si>
    <t>English</t>
  </si>
  <si>
    <t xml:space="preserve">Physics </t>
  </si>
  <si>
    <t>Chemistry</t>
  </si>
  <si>
    <t>Total</t>
  </si>
  <si>
    <t>Average</t>
  </si>
  <si>
    <t>ST001</t>
  </si>
  <si>
    <t>ST002</t>
  </si>
  <si>
    <t>ST003</t>
  </si>
  <si>
    <t>ST004</t>
  </si>
  <si>
    <t>ST005</t>
  </si>
  <si>
    <t>ST006</t>
  </si>
  <si>
    <t>ST007</t>
  </si>
  <si>
    <t>ST008</t>
  </si>
  <si>
    <t>ST009</t>
  </si>
  <si>
    <t>ST010</t>
  </si>
  <si>
    <t>Ada</t>
  </si>
  <si>
    <t>Tobi</t>
  </si>
  <si>
    <t>Chinedu</t>
  </si>
  <si>
    <t>Oluwatobiloba</t>
  </si>
  <si>
    <t>Adekunle</t>
  </si>
  <si>
    <t>Winslet</t>
  </si>
  <si>
    <t>Selena</t>
  </si>
  <si>
    <t>Meymunah</t>
  </si>
  <si>
    <t>Adaeze</t>
  </si>
  <si>
    <t>Okafor</t>
  </si>
  <si>
    <t>Comp. Science</t>
  </si>
  <si>
    <t>Grade</t>
  </si>
  <si>
    <t>Status</t>
  </si>
  <si>
    <t>Student_Performance_Analysis</t>
  </si>
  <si>
    <t>Rank</t>
  </si>
  <si>
    <t>Gender</t>
  </si>
  <si>
    <t>Female</t>
  </si>
  <si>
    <t>Male</t>
  </si>
  <si>
    <t>Student Performance Dashboard</t>
  </si>
  <si>
    <r>
      <rPr>
        <b/>
        <sz val="14"/>
        <color theme="1"/>
        <rFont val="Tw Cen MT"/>
        <family val="2"/>
        <scheme val="minor"/>
      </rPr>
      <t xml:space="preserve">Total Students  </t>
    </r>
    <r>
      <rPr>
        <b/>
        <sz val="11"/>
        <color theme="1"/>
        <rFont val="Tw Cen MT"/>
        <family val="2"/>
        <scheme val="minor"/>
      </rPr>
      <t xml:space="preserve">                                                                                                                                                                                                                                                                                          10</t>
    </r>
  </si>
  <si>
    <r>
      <rPr>
        <b/>
        <sz val="14"/>
        <color theme="1"/>
        <rFont val="Tw Cen MT"/>
        <family val="2"/>
        <scheme val="minor"/>
      </rPr>
      <t xml:space="preserve">Highest Average  </t>
    </r>
    <r>
      <rPr>
        <b/>
        <sz val="11"/>
        <color theme="1"/>
        <rFont val="Tw Cen MT"/>
        <family val="2"/>
        <scheme val="minor"/>
      </rPr>
      <t xml:space="preserve">                                                                                                                91</t>
    </r>
  </si>
  <si>
    <r>
      <rPr>
        <b/>
        <sz val="14"/>
        <color theme="1"/>
        <rFont val="Tw Cen MT"/>
        <family val="2"/>
        <scheme val="minor"/>
      </rPr>
      <t xml:space="preserve">Lowest Average   </t>
    </r>
    <r>
      <rPr>
        <b/>
        <sz val="11"/>
        <color theme="1"/>
        <rFont val="Tw Cen MT"/>
        <family val="2"/>
        <scheme val="minor"/>
      </rPr>
      <t xml:space="preserve">                                                                                                                 45.2</t>
    </r>
  </si>
  <si>
    <r>
      <rPr>
        <b/>
        <sz val="14"/>
        <color theme="1"/>
        <rFont val="Tw Cen MT"/>
        <family val="2"/>
        <scheme val="minor"/>
      </rPr>
      <t xml:space="preserve">Average Score                                                     </t>
    </r>
    <r>
      <rPr>
        <b/>
        <sz val="11"/>
        <color theme="1"/>
        <rFont val="Tw Cen MT"/>
        <family val="2"/>
        <scheme val="minor"/>
      </rPr>
      <t xml:space="preserve">                                                           71.82</t>
    </r>
  </si>
  <si>
    <r>
      <rPr>
        <b/>
        <sz val="14"/>
        <color theme="1"/>
        <rFont val="Tw Cen MT"/>
        <family val="2"/>
        <scheme val="minor"/>
      </rPr>
      <t xml:space="preserve">Top Student     </t>
    </r>
    <r>
      <rPr>
        <b/>
        <sz val="11"/>
        <color theme="1"/>
        <rFont val="Tw Cen MT"/>
        <family val="2"/>
        <scheme val="minor"/>
      </rPr>
      <t xml:space="preserve">                                                                                                                </t>
    </r>
    <r>
      <rPr>
        <b/>
        <i/>
        <sz val="11"/>
        <color theme="1"/>
        <rFont val="Tw Cen MT"/>
        <family val="2"/>
        <scheme val="minor"/>
      </rPr>
      <t>Selena</t>
    </r>
  </si>
  <si>
    <r>
      <rPr>
        <b/>
        <sz val="14"/>
        <color theme="1"/>
        <rFont val="Tw Cen MT"/>
        <family val="2"/>
        <scheme val="minor"/>
      </rPr>
      <t xml:space="preserve">Pass Rate (%)          </t>
    </r>
    <r>
      <rPr>
        <b/>
        <sz val="11"/>
        <color theme="1"/>
        <rFont val="Tw Cen MT"/>
        <family val="2"/>
        <scheme val="minor"/>
      </rPr>
      <t xml:space="preserve">                                                                                                  100%</t>
    </r>
  </si>
  <si>
    <r>
      <rPr>
        <b/>
        <sz val="14"/>
        <color theme="1"/>
        <rFont val="Tw Cen MT"/>
        <family val="2"/>
        <scheme val="minor"/>
      </rPr>
      <t xml:space="preserve">Fail Rate (%)       </t>
    </r>
    <r>
      <rPr>
        <b/>
        <sz val="11"/>
        <color theme="1"/>
        <rFont val="Tw Cen MT"/>
        <family val="2"/>
        <scheme val="minor"/>
      </rPr>
      <t xml:space="preserve">                                                                                                                  0%</t>
    </r>
  </si>
  <si>
    <t>Student Search</t>
  </si>
  <si>
    <t>Enter Student ID:</t>
  </si>
  <si>
    <t>Row Labels</t>
  </si>
  <si>
    <t>A</t>
  </si>
  <si>
    <t>B</t>
  </si>
  <si>
    <t>C</t>
  </si>
  <si>
    <t>D</t>
  </si>
  <si>
    <t>Grand Total</t>
  </si>
  <si>
    <t>Count of Grade</t>
  </si>
  <si>
    <t>Average of Math</t>
  </si>
  <si>
    <t>Average of English</t>
  </si>
  <si>
    <t xml:space="preserve">Average of Physics </t>
  </si>
  <si>
    <t>Average of Chemistry</t>
  </si>
  <si>
    <t>Average of Comp. Science</t>
  </si>
  <si>
    <t>Pass</t>
  </si>
  <si>
    <t>Count of Status</t>
  </si>
  <si>
    <t>Column Labels</t>
  </si>
  <si>
    <t>Average of Average</t>
  </si>
  <si>
    <t>Count of Student ID</t>
  </si>
  <si>
    <t>Pivot Table Analysis</t>
  </si>
  <si>
    <t>Question 1: How many students received each grade?</t>
  </si>
  <si>
    <t>Question 2: What is the average score of each subject</t>
  </si>
  <si>
    <t>Question 3: How many students passed or failed?</t>
  </si>
  <si>
    <t>Question 4: What is the average score by gender?</t>
  </si>
  <si>
    <t>Question 5: How are grades distributed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</si>
</sst>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Tw Cen MT"/>
      <family val="2"/>
      <scheme val="minor"/>
    </font>
    <font>
      <b/>
      <sz val="11"/>
      <color theme="1"/>
      <name val="Tw Cen MT"/>
      <family val="2"/>
      <scheme val="minor"/>
    </font>
    <font>
      <sz val="8"/>
      <name val="Tw Cen MT"/>
      <family val="2"/>
      <scheme val="minor"/>
    </font>
    <font>
      <b/>
      <sz val="11"/>
      <color theme="8" tint="-0.249977111117893"/>
      <name val="Tw Cen MT"/>
      <family val="2"/>
      <scheme val="minor"/>
    </font>
    <font>
      <b/>
      <sz val="11"/>
      <color rgb="FF00B050"/>
      <name val="Tw Cen MT"/>
      <family val="2"/>
      <scheme val="minor"/>
    </font>
    <font>
      <b/>
      <sz val="11"/>
      <color rgb="FFFFC000"/>
      <name val="Tw Cen MT"/>
      <family val="2"/>
      <scheme val="minor"/>
    </font>
    <font>
      <sz val="24"/>
      <color theme="8" tint="-0.249977111117893"/>
      <name val="Tw Cen MT"/>
      <family val="2"/>
      <scheme val="minor"/>
    </font>
    <font>
      <sz val="11"/>
      <color theme="1"/>
      <name val="Tw Cen MT"/>
      <family val="2"/>
      <scheme val="minor"/>
    </font>
    <font>
      <b/>
      <sz val="11"/>
      <color theme="4" tint="-0.249977111117893"/>
      <name val="Tw Cen MT"/>
      <family val="2"/>
      <scheme val="minor"/>
    </font>
    <font>
      <sz val="11"/>
      <color theme="4" tint="-0.249977111117893"/>
      <name val="Tw Cen MT"/>
      <family val="2"/>
      <scheme val="minor"/>
    </font>
    <font>
      <sz val="20"/>
      <color theme="1"/>
      <name val="Tw Cen MT"/>
      <family val="2"/>
      <scheme val="minor"/>
    </font>
    <font>
      <b/>
      <i/>
      <sz val="11"/>
      <color theme="1"/>
      <name val="Tw Cen MT"/>
      <family val="2"/>
      <scheme val="minor"/>
    </font>
    <font>
      <b/>
      <sz val="14"/>
      <color theme="1"/>
      <name val="Tw Cen MT"/>
      <family val="2"/>
      <scheme val="minor"/>
    </font>
    <font>
      <sz val="14"/>
      <color theme="1"/>
      <name val="Tw Cen MT"/>
      <family val="2"/>
      <scheme val="minor"/>
    </font>
    <font>
      <sz val="24"/>
      <color theme="1"/>
      <name val="Tw Cen MT"/>
      <family val="2"/>
      <scheme val="minor"/>
    </font>
  </fonts>
  <fills count="4">
    <fill>
      <patternFill patternType="none"/>
    </fill>
    <fill>
      <patternFill patternType="gray125"/>
    </fill>
    <fill>
      <patternFill patternType="solid">
        <fgColor rgb="FFDBEDF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7" fillId="0" borderId="0" applyFont="0" applyFill="0" applyBorder="0" applyAlignment="0" applyProtection="0"/>
  </cellStyleXfs>
  <cellXfs count="26">
    <xf numFmtId="0" fontId="0" fillId="0" borderId="0" xfId="0"/>
    <xf numFmtId="0" fontId="1" fillId="0" borderId="1" xfId="0" applyFont="1" applyBorder="1" applyAlignment="1">
      <alignment horizontal="center" wrapText="1"/>
    </xf>
    <xf numFmtId="0" fontId="1" fillId="0" borderId="1" xfId="0" applyFont="1" applyBorder="1" applyAlignment="1">
      <alignment horizontal="center"/>
    </xf>
    <xf numFmtId="2" fontId="1" fillId="0" borderId="1" xfId="0" applyNumberFormat="1" applyFont="1" applyBorder="1" applyAlignment="1">
      <alignment horizontal="center"/>
    </xf>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0" fontId="3" fillId="0" borderId="0" xfId="0" applyFont="1"/>
    <xf numFmtId="0" fontId="4" fillId="0" borderId="0" xfId="0" applyFont="1"/>
    <xf numFmtId="0" fontId="5" fillId="0" borderId="0" xfId="0" applyFont="1"/>
    <xf numFmtId="0" fontId="8" fillId="0" borderId="0" xfId="0" applyFont="1"/>
    <xf numFmtId="9" fontId="9" fillId="0" borderId="0" xfId="1" applyFont="1"/>
    <xf numFmtId="0" fontId="6" fillId="0" borderId="0" xfId="0" applyFont="1"/>
    <xf numFmtId="0" fontId="0" fillId="3" borderId="0" xfId="0" applyFill="1"/>
    <xf numFmtId="0" fontId="0" fillId="0" borderId="0" xfId="0" applyAlignment="1">
      <alignment horizontal="center"/>
    </xf>
    <xf numFmtId="0" fontId="0" fillId="0" borderId="0" xfId="0" pivotButton="1"/>
    <xf numFmtId="0" fontId="0" fillId="0" borderId="0" xfId="0" applyAlignment="1">
      <alignment horizontal="left"/>
    </xf>
    <xf numFmtId="0" fontId="14" fillId="0" borderId="0" xfId="0" applyFont="1"/>
    <xf numFmtId="0" fontId="6" fillId="0" borderId="0" xfId="0" applyFont="1" applyAlignment="1">
      <alignment horizontal="center"/>
    </xf>
    <xf numFmtId="0" fontId="1" fillId="2" borderId="0" xfId="0" applyFont="1" applyFill="1" applyAlignment="1">
      <alignment horizontal="center" wrapText="1"/>
    </xf>
    <xf numFmtId="0" fontId="10" fillId="2" borderId="0" xfId="0" applyFont="1" applyFill="1" applyAlignment="1">
      <alignment horizontal="center"/>
    </xf>
    <xf numFmtId="0" fontId="0" fillId="0" borderId="0" xfId="0" applyAlignment="1">
      <alignment horizontal="center"/>
    </xf>
    <xf numFmtId="0" fontId="10" fillId="0" borderId="0" xfId="0" applyFont="1" applyAlignment="1">
      <alignment horizontal="center"/>
    </xf>
    <xf numFmtId="0" fontId="13" fillId="0" borderId="0" xfId="0" applyFont="1"/>
    <xf numFmtId="0" fontId="14" fillId="0" borderId="0" xfId="0" applyFont="1" applyAlignment="1">
      <alignment horizontal="center"/>
    </xf>
    <xf numFmtId="0" fontId="0" fillId="0" borderId="0" xfId="0"/>
  </cellXfs>
  <cellStyles count="2">
    <cellStyle name="Normal" xfId="0" builtinId="0"/>
    <cellStyle name="Percent" xfId="1" builtinId="5"/>
  </cellStyles>
  <dxfs count="13">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theme="1"/>
        <name val="Tw Cen MT"/>
        <family val="2"/>
        <scheme val="minor"/>
      </font>
      <alignment horizontal="center" vertical="bottom" textRotation="0" wrapText="0" indent="0" justifyLastLine="0" shrinkToFit="0" readingOrder="0"/>
    </dxf>
  </dxfs>
  <tableStyles count="0" defaultTableStyle="TableStyleMedium2" defaultPivotStyle="PivotStyleLight16"/>
  <colors>
    <mruColors>
      <color rgb="FFDBEDF1"/>
      <color rgb="FF28C7D8"/>
      <color rgb="FF33CCCC"/>
      <color rgb="FF0EF2E7"/>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Score of each Subject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Analysis'!$A$13</c:f>
              <c:strCache>
                <c:ptCount val="1"/>
                <c:pt idx="0">
                  <c:v>Average of Math</c:v>
                </c:pt>
              </c:strCache>
            </c:strRef>
          </c:tx>
          <c:spPr>
            <a:solidFill>
              <a:schemeClr val="accent1"/>
            </a:solidFill>
            <a:ln>
              <a:noFill/>
            </a:ln>
            <a:effectLst/>
          </c:spPr>
          <c:invertIfNegative val="0"/>
          <c:cat>
            <c:strRef>
              <c:f>'Pivot Analysis'!$A$14</c:f>
              <c:strCache>
                <c:ptCount val="1"/>
                <c:pt idx="0">
                  <c:v>Total</c:v>
                </c:pt>
              </c:strCache>
            </c:strRef>
          </c:cat>
          <c:val>
            <c:numRef>
              <c:f>'Pivot Analysis'!$A$14</c:f>
              <c:numCache>
                <c:formatCode>General</c:formatCode>
                <c:ptCount val="1"/>
                <c:pt idx="0">
                  <c:v>71.2</c:v>
                </c:pt>
              </c:numCache>
            </c:numRef>
          </c:val>
          <c:extLst>
            <c:ext xmlns:c16="http://schemas.microsoft.com/office/drawing/2014/chart" uri="{C3380CC4-5D6E-409C-BE32-E72D297353CC}">
              <c16:uniqueId val="{00000000-1EA1-43BC-A818-42EA6DD68FC7}"/>
            </c:ext>
          </c:extLst>
        </c:ser>
        <c:ser>
          <c:idx val="1"/>
          <c:order val="1"/>
          <c:tx>
            <c:strRef>
              <c:f>'Pivot Analysis'!$B$13</c:f>
              <c:strCache>
                <c:ptCount val="1"/>
                <c:pt idx="0">
                  <c:v>Average of English</c:v>
                </c:pt>
              </c:strCache>
            </c:strRef>
          </c:tx>
          <c:spPr>
            <a:solidFill>
              <a:schemeClr val="accent2"/>
            </a:solidFill>
            <a:ln>
              <a:noFill/>
            </a:ln>
            <a:effectLst/>
          </c:spPr>
          <c:invertIfNegative val="0"/>
          <c:cat>
            <c:strRef>
              <c:f>'Pivot Analysis'!$A$14</c:f>
              <c:strCache>
                <c:ptCount val="1"/>
                <c:pt idx="0">
                  <c:v>Total</c:v>
                </c:pt>
              </c:strCache>
            </c:strRef>
          </c:cat>
          <c:val>
            <c:numRef>
              <c:f>'Pivot Analysis'!$B$14</c:f>
              <c:numCache>
                <c:formatCode>General</c:formatCode>
                <c:ptCount val="1"/>
                <c:pt idx="0">
                  <c:v>70.8</c:v>
                </c:pt>
              </c:numCache>
            </c:numRef>
          </c:val>
          <c:extLst>
            <c:ext xmlns:c16="http://schemas.microsoft.com/office/drawing/2014/chart" uri="{C3380CC4-5D6E-409C-BE32-E72D297353CC}">
              <c16:uniqueId val="{00000001-1EA1-43BC-A818-42EA6DD68FC7}"/>
            </c:ext>
          </c:extLst>
        </c:ser>
        <c:ser>
          <c:idx val="2"/>
          <c:order val="2"/>
          <c:tx>
            <c:strRef>
              <c:f>'Pivot Analysis'!$C$13</c:f>
              <c:strCache>
                <c:ptCount val="1"/>
                <c:pt idx="0">
                  <c:v>Average of Physics </c:v>
                </c:pt>
              </c:strCache>
            </c:strRef>
          </c:tx>
          <c:spPr>
            <a:solidFill>
              <a:schemeClr val="accent3"/>
            </a:solidFill>
            <a:ln>
              <a:noFill/>
            </a:ln>
            <a:effectLst/>
          </c:spPr>
          <c:invertIfNegative val="0"/>
          <c:cat>
            <c:strRef>
              <c:f>'Pivot Analysis'!$A$14</c:f>
              <c:strCache>
                <c:ptCount val="1"/>
                <c:pt idx="0">
                  <c:v>Total</c:v>
                </c:pt>
              </c:strCache>
            </c:strRef>
          </c:cat>
          <c:val>
            <c:numRef>
              <c:f>'Pivot Analysis'!$C$14</c:f>
              <c:numCache>
                <c:formatCode>General</c:formatCode>
                <c:ptCount val="1"/>
                <c:pt idx="0">
                  <c:v>79.400000000000006</c:v>
                </c:pt>
              </c:numCache>
            </c:numRef>
          </c:val>
          <c:extLst>
            <c:ext xmlns:c16="http://schemas.microsoft.com/office/drawing/2014/chart" uri="{C3380CC4-5D6E-409C-BE32-E72D297353CC}">
              <c16:uniqueId val="{00000002-1EA1-43BC-A818-42EA6DD68FC7}"/>
            </c:ext>
          </c:extLst>
        </c:ser>
        <c:ser>
          <c:idx val="3"/>
          <c:order val="3"/>
          <c:tx>
            <c:strRef>
              <c:f>'Pivot Analysis'!$D$13</c:f>
              <c:strCache>
                <c:ptCount val="1"/>
                <c:pt idx="0">
                  <c:v>Average of Chemistry</c:v>
                </c:pt>
              </c:strCache>
            </c:strRef>
          </c:tx>
          <c:spPr>
            <a:solidFill>
              <a:schemeClr val="accent4"/>
            </a:solidFill>
            <a:ln>
              <a:noFill/>
            </a:ln>
            <a:effectLst/>
          </c:spPr>
          <c:invertIfNegative val="0"/>
          <c:cat>
            <c:strRef>
              <c:f>'Pivot Analysis'!$A$14</c:f>
              <c:strCache>
                <c:ptCount val="1"/>
                <c:pt idx="0">
                  <c:v>Total</c:v>
                </c:pt>
              </c:strCache>
            </c:strRef>
          </c:cat>
          <c:val>
            <c:numRef>
              <c:f>'Pivot Analysis'!$D$14</c:f>
              <c:numCache>
                <c:formatCode>General</c:formatCode>
                <c:ptCount val="1"/>
                <c:pt idx="0">
                  <c:v>65.3</c:v>
                </c:pt>
              </c:numCache>
            </c:numRef>
          </c:val>
          <c:extLst>
            <c:ext xmlns:c16="http://schemas.microsoft.com/office/drawing/2014/chart" uri="{C3380CC4-5D6E-409C-BE32-E72D297353CC}">
              <c16:uniqueId val="{00000003-1EA1-43BC-A818-42EA6DD68FC7}"/>
            </c:ext>
          </c:extLst>
        </c:ser>
        <c:ser>
          <c:idx val="4"/>
          <c:order val="4"/>
          <c:tx>
            <c:strRef>
              <c:f>'Pivot Analysis'!$E$13</c:f>
              <c:strCache>
                <c:ptCount val="1"/>
                <c:pt idx="0">
                  <c:v>Average of Comp. Science</c:v>
                </c:pt>
              </c:strCache>
            </c:strRef>
          </c:tx>
          <c:spPr>
            <a:solidFill>
              <a:schemeClr val="accent5"/>
            </a:solidFill>
            <a:ln>
              <a:noFill/>
            </a:ln>
            <a:effectLst/>
          </c:spPr>
          <c:invertIfNegative val="0"/>
          <c:cat>
            <c:strRef>
              <c:f>'Pivot Analysis'!$A$14</c:f>
              <c:strCache>
                <c:ptCount val="1"/>
                <c:pt idx="0">
                  <c:v>Total</c:v>
                </c:pt>
              </c:strCache>
            </c:strRef>
          </c:cat>
          <c:val>
            <c:numRef>
              <c:f>'Pivot Analysis'!$E$14</c:f>
              <c:numCache>
                <c:formatCode>General</c:formatCode>
                <c:ptCount val="1"/>
                <c:pt idx="0">
                  <c:v>72.400000000000006</c:v>
                </c:pt>
              </c:numCache>
            </c:numRef>
          </c:val>
          <c:extLst>
            <c:ext xmlns:c16="http://schemas.microsoft.com/office/drawing/2014/chart" uri="{C3380CC4-5D6E-409C-BE32-E72D297353CC}">
              <c16:uniqueId val="{00000004-1EA1-43BC-A818-42EA6DD68FC7}"/>
            </c:ext>
          </c:extLst>
        </c:ser>
        <c:dLbls>
          <c:showLegendKey val="0"/>
          <c:showVal val="0"/>
          <c:showCatName val="0"/>
          <c:showSerName val="0"/>
          <c:showPercent val="0"/>
          <c:showBubbleSize val="0"/>
        </c:dLbls>
        <c:gapWidth val="219"/>
        <c:overlap val="-27"/>
        <c:axId val="681159024"/>
        <c:axId val="613699408"/>
      </c:barChart>
      <c:catAx>
        <c:axId val="68115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99408"/>
        <c:crosses val="autoZero"/>
        <c:auto val="1"/>
        <c:lblAlgn val="ctr"/>
        <c:lblOffset val="100"/>
        <c:noMultiLvlLbl val="0"/>
      </c:catAx>
      <c:valAx>
        <c:axId val="613699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5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52387</xdr:colOff>
      <xdr:row>5</xdr:row>
      <xdr:rowOff>133350</xdr:rowOff>
    </xdr:from>
    <xdr:to>
      <xdr:col>13</xdr:col>
      <xdr:colOff>509587</xdr:colOff>
      <xdr:row>20</xdr:row>
      <xdr:rowOff>47625</xdr:rowOff>
    </xdr:to>
    <xdr:graphicFrame macro="">
      <xdr:nvGraphicFramePr>
        <xdr:cNvPr id="2" name="Chart 1">
          <a:extLst>
            <a:ext uri="{FF2B5EF4-FFF2-40B4-BE49-F238E27FC236}">
              <a16:creationId xmlns:a16="http://schemas.microsoft.com/office/drawing/2014/main" id="{E7B94551-6503-37A9-CFFA-A7E90F25F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847726</xdr:colOff>
      <xdr:row>24</xdr:row>
      <xdr:rowOff>38101</xdr:rowOff>
    </xdr:from>
    <xdr:to>
      <xdr:col>5</xdr:col>
      <xdr:colOff>742950</xdr:colOff>
      <xdr:row>29</xdr:row>
      <xdr:rowOff>47626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C22AB54-BB11-3CE5-11A5-0A9708E3924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14826" y="4752976"/>
              <a:ext cx="1552574"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933450</xdr:colOff>
      <xdr:row>1</xdr:row>
      <xdr:rowOff>95250</xdr:rowOff>
    </xdr:from>
    <xdr:to>
      <xdr:col>5</xdr:col>
      <xdr:colOff>923925</xdr:colOff>
      <xdr:row>8</xdr:row>
      <xdr:rowOff>142874</xdr:rowOff>
    </xdr:to>
    <mc:AlternateContent xmlns:mc="http://schemas.openxmlformats.org/markup-compatibility/2006">
      <mc:Choice xmlns:a14="http://schemas.microsoft.com/office/drawing/2010/main" Requires="a14">
        <xdr:graphicFrame macro="">
          <xdr:nvGraphicFramePr>
            <xdr:cNvPr id="4" name="Grade">
              <a:extLst>
                <a:ext uri="{FF2B5EF4-FFF2-40B4-BE49-F238E27FC236}">
                  <a16:creationId xmlns:a16="http://schemas.microsoft.com/office/drawing/2014/main" id="{F468ADEB-C9C4-D589-380F-6CF13DAF90CE}"/>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4400550" y="476250"/>
              <a:ext cx="1647825"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0.954984374999" createdVersion="8" refreshedVersion="8" minRefreshableVersion="3" recordCount="10" xr:uid="{D4A608C4-0B71-46FE-ABE4-95DA8B8CED5A}">
  <cacheSource type="worksheet">
    <worksheetSource name="Table1"/>
  </cacheSource>
  <cacheFields count="13">
    <cacheField name="Student ID" numFmtId="0">
      <sharedItems count="10">
        <s v="ST007"/>
        <s v="ST010"/>
        <s v="ST003"/>
        <s v="ST005"/>
        <s v="ST004"/>
        <s v="ST008"/>
        <s v="ST001"/>
        <s v="ST006"/>
        <s v="ST009"/>
        <s v="ST002"/>
      </sharedItems>
    </cacheField>
    <cacheField name="Name" numFmtId="0">
      <sharedItems/>
    </cacheField>
    <cacheField name="Math" numFmtId="0">
      <sharedItems containsSemiMixedTypes="0" containsString="0" containsNumber="1" containsInteger="1" minValue="23" maxValue="100"/>
    </cacheField>
    <cacheField name="English" numFmtId="0">
      <sharedItems containsSemiMixedTypes="0" containsString="0" containsNumber="1" containsInteger="1" minValue="52" maxValue="97"/>
    </cacheField>
    <cacheField name="Physics " numFmtId="0">
      <sharedItems containsSemiMixedTypes="0" containsString="0" containsNumber="1" containsInteger="1" minValue="55" maxValue="100"/>
    </cacheField>
    <cacheField name="Chemistry" numFmtId="0">
      <sharedItems containsSemiMixedTypes="0" containsString="0" containsNumber="1" containsInteger="1" minValue="18" maxValue="97"/>
    </cacheField>
    <cacheField name="Comp. Science" numFmtId="0">
      <sharedItems containsSemiMixedTypes="0" containsString="0" containsNumber="1" containsInteger="1" minValue="41" maxValue="100"/>
    </cacheField>
    <cacheField name="Total" numFmtId="0">
      <sharedItems containsSemiMixedTypes="0" containsString="0" containsNumber="1" containsInteger="1" minValue="226" maxValue="455"/>
    </cacheField>
    <cacheField name="Average" numFmtId="0">
      <sharedItems containsSemiMixedTypes="0" containsString="0" containsNumber="1" minValue="45.2" maxValue="91"/>
    </cacheField>
    <cacheField name="Status" numFmtId="0">
      <sharedItems count="1">
        <s v="Pass"/>
      </sharedItems>
    </cacheField>
    <cacheField name="Grade" numFmtId="0">
      <sharedItems count="4">
        <s v="A"/>
        <s v="B"/>
        <s v="C"/>
        <s v="D"/>
      </sharedItems>
    </cacheField>
    <cacheField name="Rank" numFmtId="0">
      <sharedItems containsSemiMixedTypes="0" containsString="0" containsNumber="1" containsInteger="1" minValue="1" maxValue="10"/>
    </cacheField>
    <cacheField name="Gender" numFmtId="0">
      <sharedItems count="2">
        <s v="Female"/>
        <s v="Male"/>
      </sharedItems>
    </cacheField>
  </cacheFields>
  <extLst>
    <ext xmlns:x14="http://schemas.microsoft.com/office/spreadsheetml/2009/9/main" uri="{725AE2AE-9491-48be-B2B4-4EB974FC3084}">
      <x14:pivotCacheDefinition pivotCacheId="1112251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Selena"/>
    <n v="90"/>
    <n v="97"/>
    <n v="100"/>
    <n v="86"/>
    <n v="82"/>
    <n v="455"/>
    <n v="91"/>
    <x v="0"/>
    <x v="0"/>
    <n v="1"/>
    <x v="0"/>
  </r>
  <r>
    <x v="1"/>
    <s v="Okafor"/>
    <n v="100"/>
    <n v="71"/>
    <n v="100"/>
    <n v="82"/>
    <n v="100"/>
    <n v="453"/>
    <n v="90.6"/>
    <x v="0"/>
    <x v="0"/>
    <n v="2"/>
    <x v="1"/>
  </r>
  <r>
    <x v="2"/>
    <s v="Chinedu"/>
    <n v="70"/>
    <n v="91"/>
    <n v="90"/>
    <n v="97"/>
    <n v="100"/>
    <n v="448"/>
    <n v="89.6"/>
    <x v="0"/>
    <x v="0"/>
    <n v="3"/>
    <x v="1"/>
  </r>
  <r>
    <x v="3"/>
    <s v="Adekunle"/>
    <n v="73"/>
    <n v="78"/>
    <n v="100"/>
    <n v="78"/>
    <n v="72"/>
    <n v="401"/>
    <n v="80.2"/>
    <x v="0"/>
    <x v="0"/>
    <n v="4"/>
    <x v="1"/>
  </r>
  <r>
    <x v="4"/>
    <s v="Oluwatobiloba"/>
    <n v="63"/>
    <n v="70"/>
    <n v="68"/>
    <n v="82"/>
    <n v="69"/>
    <n v="352"/>
    <n v="70.400000000000006"/>
    <x v="0"/>
    <x v="0"/>
    <n v="5"/>
    <x v="1"/>
  </r>
  <r>
    <x v="5"/>
    <s v="Meymunah"/>
    <n v="100"/>
    <n v="56"/>
    <n v="70"/>
    <n v="40"/>
    <n v="68"/>
    <n v="334"/>
    <n v="66.8"/>
    <x v="0"/>
    <x v="1"/>
    <n v="6"/>
    <x v="0"/>
  </r>
  <r>
    <x v="6"/>
    <s v="Ada"/>
    <n v="75"/>
    <n v="52"/>
    <n v="90"/>
    <n v="32"/>
    <n v="81"/>
    <n v="330"/>
    <n v="66"/>
    <x v="0"/>
    <x v="1"/>
    <n v="7"/>
    <x v="0"/>
  </r>
  <r>
    <x v="7"/>
    <s v="Winslet"/>
    <n v="68"/>
    <n v="60"/>
    <n v="62"/>
    <n v="89"/>
    <n v="41"/>
    <n v="320"/>
    <n v="64"/>
    <x v="0"/>
    <x v="1"/>
    <n v="8"/>
    <x v="0"/>
  </r>
  <r>
    <x v="8"/>
    <s v="Adaeze"/>
    <n v="50"/>
    <n v="57"/>
    <n v="55"/>
    <n v="49"/>
    <n v="61"/>
    <n v="272"/>
    <n v="54.4"/>
    <x v="0"/>
    <x v="2"/>
    <n v="9"/>
    <x v="0"/>
  </r>
  <r>
    <x v="9"/>
    <s v="Tobi"/>
    <n v="23"/>
    <n v="76"/>
    <n v="59"/>
    <n v="18"/>
    <n v="50"/>
    <n v="226"/>
    <n v="45.2"/>
    <x v="0"/>
    <x v="3"/>
    <n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D7A34-8477-4266-936C-C6556EDBDA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1" firstHeaderRow="1" firstDataRow="1" firstDataCol="1"/>
  <pivotFields count="13">
    <pivotField showAll="0"/>
    <pivotField showAll="0"/>
    <pivotField showAll="0"/>
    <pivotField showAll="0"/>
    <pivotField showAll="0"/>
    <pivotField showAll="0"/>
    <pivotField showAll="0"/>
    <pivotField showAll="0"/>
    <pivotField showAll="0"/>
    <pivotField axis="axisRow" dataField="1" showAll="0">
      <items count="2">
        <item x="0"/>
        <item t="default"/>
      </items>
    </pivotField>
    <pivotField showAll="0"/>
    <pivotField showAll="0"/>
    <pivotField showAll="0"/>
  </pivotFields>
  <rowFields count="1">
    <field x="9"/>
  </rowFields>
  <rowItems count="2">
    <i>
      <x/>
    </i>
    <i t="grand">
      <x/>
    </i>
  </rowItems>
  <colItems count="1">
    <i/>
  </colItems>
  <dataFields count="1">
    <dataField name="Count of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D8EC3-29E7-4038-96C9-18E670F947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E14" firstHeaderRow="0" firstDataRow="1" firstDataCol="0"/>
  <pivotFields count="13">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Math" fld="2" subtotal="average" baseField="0" baseItem="0"/>
    <dataField name="Average of English" fld="3" subtotal="average" baseField="0" baseItem="0"/>
    <dataField name="Average of Physics " fld="4" subtotal="average" baseField="0" baseItem="0"/>
    <dataField name="Average of Chemistry" fld="5" subtotal="average" baseField="0" baseItem="0"/>
    <dataField name="Average of Comp. Science" fld="6" subtotal="average"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9AB83E-5F22-4660-AE82-FBF560E36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x="3"/>
        <item t="default"/>
      </items>
    </pivotField>
    <pivotField showAll="0"/>
    <pivotField showAll="0"/>
  </pivotFields>
  <rowFields count="1">
    <field x="10"/>
  </rowFields>
  <rowItems count="5">
    <i>
      <x/>
    </i>
    <i>
      <x v="1"/>
    </i>
    <i>
      <x v="2"/>
    </i>
    <i>
      <x v="3"/>
    </i>
    <i t="grand">
      <x/>
    </i>
  </rowItems>
  <colItems count="1">
    <i/>
  </colItems>
  <dataFields count="1">
    <dataField name="Count of Grad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310D6-2E76-410B-892B-24FE4C1E3D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D40" firstHeaderRow="1" firstDataRow="2" firstDataCol="1"/>
  <pivotFields count="13">
    <pivotField dataField="1" showAll="0">
      <items count="11">
        <item x="6"/>
        <item x="9"/>
        <item x="2"/>
        <item x="4"/>
        <item x="3"/>
        <item x="7"/>
        <item x="0"/>
        <item x="5"/>
        <item x="8"/>
        <item x="1"/>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axis="axisCol" showAll="0">
      <items count="3">
        <item x="0"/>
        <item x="1"/>
        <item t="default"/>
      </items>
    </pivotField>
  </pivotFields>
  <rowFields count="1">
    <field x="10"/>
  </rowFields>
  <rowItems count="5">
    <i>
      <x/>
    </i>
    <i>
      <x v="1"/>
    </i>
    <i>
      <x v="2"/>
    </i>
    <i>
      <x v="3"/>
    </i>
    <i t="grand">
      <x/>
    </i>
  </rowItems>
  <colFields count="1">
    <field x="12"/>
  </colFields>
  <colItems count="3">
    <i>
      <x/>
    </i>
    <i>
      <x v="1"/>
    </i>
    <i t="grand">
      <x/>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33B6C1-43C3-4AD9-B87B-ACABF63A96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B29" firstHeaderRow="1" firstDataRow="1" firstDataCol="1"/>
  <pivotFields count="13">
    <pivotField showAll="0"/>
    <pivotField showAll="0"/>
    <pivotField showAll="0"/>
    <pivotField showAll="0"/>
    <pivotField showAll="0"/>
    <pivotField showAll="0"/>
    <pivotField showAll="0"/>
    <pivotField showAll="0"/>
    <pivotField dataField="1" showAll="0"/>
    <pivotField showAll="0"/>
    <pivotField showAll="0">
      <items count="5">
        <item x="0"/>
        <item x="1"/>
        <item x="2"/>
        <item x="3"/>
        <item t="default"/>
      </items>
    </pivotField>
    <pivotField showAll="0"/>
    <pivotField axis="axisRow" showAll="0">
      <items count="3">
        <item x="0"/>
        <item x="1"/>
        <item t="default"/>
      </items>
    </pivotField>
  </pivotFields>
  <rowFields count="1">
    <field x="12"/>
  </rowFields>
  <rowItems count="3">
    <i>
      <x/>
    </i>
    <i>
      <x v="1"/>
    </i>
    <i t="grand">
      <x/>
    </i>
  </rowItems>
  <colItems count="1">
    <i/>
  </colItems>
  <dataFields count="1">
    <dataField name="Average of Average"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69924E-3AA2-4C03-B811-BD5E40772D76}" sourceName="Gender">
  <pivotTables>
    <pivotTable tabId="4" name="PivotTable5"/>
    <pivotTable tabId="4" name="PivotTable6"/>
  </pivotTables>
  <data>
    <tabular pivotCacheId="11122519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4D653DE3-FBE0-4E8C-89B3-7F914673E2D0}" sourceName="Grade">
  <pivotTables>
    <pivotTable tabId="4" name="PivotTable1"/>
    <pivotTable tabId="4" name="PivotTable5"/>
    <pivotTable tabId="4" name="PivotTable6"/>
  </pivotTables>
  <data>
    <tabular pivotCacheId="11122519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E56AEBB-0E26-49A3-9912-7EC2B4DEF0A1}" cache="Slicer_Gender" caption="Gender" rowHeight="241300"/>
  <slicer name="Grade" xr10:uid="{AA5C30F9-6F72-4555-BEE8-F6740BEAE53B}" cache="Slicer_Grade" caption="Gra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83873-2900-4C32-84DE-0456476988FA}" name="Table1" displayName="Table1" ref="A2:M12" totalsRowShown="0" headerRowDxfId="12" headerRowBorderDxfId="11">
  <autoFilter ref="A2:M12" xr:uid="{72383873-2900-4C32-84DE-0456476988FA}"/>
  <sortState xmlns:xlrd2="http://schemas.microsoft.com/office/spreadsheetml/2017/richdata2" ref="A3:K12">
    <sortCondition descending="1" ref="I3:I12"/>
  </sortState>
  <tableColumns count="13">
    <tableColumn id="1" xr3:uid="{252D3C92-7316-46D8-8CD5-C8C4466B602A}" name="Student ID"/>
    <tableColumn id="2" xr3:uid="{0CF60914-4919-403B-B395-66FB8DCBBB2D}" name="Name"/>
    <tableColumn id="3" xr3:uid="{4265A62B-83F7-420F-9731-4EA67059B9E1}" name="Math"/>
    <tableColumn id="4" xr3:uid="{4EC44320-FE8C-44C4-8AEA-4315A395BB07}" name="English"/>
    <tableColumn id="5" xr3:uid="{0DCE9E99-6048-437D-8B75-945A15FA6816}" name="Physics "/>
    <tableColumn id="6" xr3:uid="{BA85AA35-040F-4B7C-8C26-1BC66EB65AFC}" name="Chemistry"/>
    <tableColumn id="7" xr3:uid="{ABF0F758-8F39-4A3F-8437-94C9662D2E1C}" name="Comp. Science"/>
    <tableColumn id="8" xr3:uid="{DF1EDB73-89B5-4D19-B4E4-850E768E26EE}" name="Total">
      <calculatedColumnFormula>SUM(C3:G3)</calculatedColumnFormula>
    </tableColumn>
    <tableColumn id="9" xr3:uid="{A697C325-EC5F-4F87-84F0-2EC2D6A98F7A}" name="Average">
      <calculatedColumnFormula>AVERAGE(C3:G3)</calculatedColumnFormula>
    </tableColumn>
    <tableColumn id="10" xr3:uid="{CB1645AB-26A9-4A60-A9FA-FA294049B744}" name="Status" dataDxfId="10">
      <calculatedColumnFormula>IF(I3&gt;=45, "Pass", "Fail")</calculatedColumnFormula>
    </tableColumn>
    <tableColumn id="11" xr3:uid="{92FBB75B-5D26-42A5-840A-1A9A90B8D986}" name="Grade" dataDxfId="9">
      <calculatedColumnFormula>IF(I3&gt;=70,"A", IF(I3&gt;=60,"B", IF(I3&gt;=50,"C", IF(I3&gt;=45,"D", "F"))))</calculatedColumnFormula>
    </tableColumn>
    <tableColumn id="12" xr3:uid="{C0AD7736-7348-4066-ADE2-6D9FFA84786E}" name="Rank" dataDxfId="8">
      <calculatedColumnFormula>_xlfn.RANK.EQ(I3,$I$3:$I$12,0)</calculatedColumnFormula>
    </tableColumn>
    <tableColumn id="13" xr3:uid="{E2327B56-1C6F-4379-B3D7-FBA9EA3913C0}" name="Gender" dataDxfId="7"/>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D305-0100-4A98-A510-0924FC0724B8}">
  <dimension ref="A1:O12"/>
  <sheetViews>
    <sheetView zoomScale="91" workbookViewId="0">
      <pane ySplit="2" topLeftCell="A3" activePane="bottomLeft" state="frozen"/>
      <selection pane="bottomLeft" activeCell="G20" sqref="G20"/>
    </sheetView>
  </sheetViews>
  <sheetFormatPr defaultRowHeight="14.25" x14ac:dyDescent="0.2"/>
  <cols>
    <col min="1" max="1" width="12.375" customWidth="1"/>
    <col min="4" max="4" width="9.375" customWidth="1"/>
    <col min="5" max="5" width="9.875" customWidth="1"/>
    <col min="6" max="6" width="12" customWidth="1"/>
    <col min="7" max="7" width="15.875" customWidth="1"/>
    <col min="9" max="9" width="10.375" customWidth="1"/>
    <col min="13" max="13" width="12.375" customWidth="1"/>
  </cols>
  <sheetData>
    <row r="1" spans="1:15" ht="30" x14ac:dyDescent="0.4">
      <c r="A1" s="18" t="s">
        <v>31</v>
      </c>
      <c r="B1" s="18"/>
      <c r="C1" s="18"/>
      <c r="D1" s="18"/>
      <c r="E1" s="18"/>
      <c r="F1" s="18"/>
      <c r="G1" s="18"/>
      <c r="H1" s="18"/>
      <c r="I1" s="18"/>
      <c r="J1" s="18"/>
      <c r="K1" s="18"/>
      <c r="L1" s="18"/>
      <c r="M1" s="18"/>
      <c r="N1" s="12"/>
      <c r="O1" s="12"/>
    </row>
    <row r="2" spans="1:15" x14ac:dyDescent="0.2">
      <c r="A2" s="1" t="s">
        <v>0</v>
      </c>
      <c r="B2" s="2" t="s">
        <v>1</v>
      </c>
      <c r="C2" s="2" t="s">
        <v>2</v>
      </c>
      <c r="D2" s="2" t="s">
        <v>3</v>
      </c>
      <c r="E2" s="2" t="s">
        <v>4</v>
      </c>
      <c r="F2" s="2" t="s">
        <v>5</v>
      </c>
      <c r="G2" s="1" t="s">
        <v>28</v>
      </c>
      <c r="H2" s="2" t="s">
        <v>6</v>
      </c>
      <c r="I2" s="3" t="s">
        <v>7</v>
      </c>
      <c r="J2" s="2" t="s">
        <v>30</v>
      </c>
      <c r="K2" s="2" t="s">
        <v>29</v>
      </c>
      <c r="L2" s="2" t="s">
        <v>32</v>
      </c>
      <c r="M2" s="2" t="s">
        <v>33</v>
      </c>
      <c r="N2" s="4"/>
    </row>
    <row r="3" spans="1:15" x14ac:dyDescent="0.2">
      <c r="A3" t="s">
        <v>14</v>
      </c>
      <c r="B3" t="s">
        <v>24</v>
      </c>
      <c r="C3">
        <v>90</v>
      </c>
      <c r="D3">
        <v>97</v>
      </c>
      <c r="E3">
        <v>100</v>
      </c>
      <c r="F3">
        <v>86</v>
      </c>
      <c r="G3">
        <v>82</v>
      </c>
      <c r="H3">
        <f t="shared" ref="H3:H12" si="0">SUM(C3:G3)</f>
        <v>455</v>
      </c>
      <c r="I3">
        <f>AVERAGE(C3:G3)</f>
        <v>91</v>
      </c>
      <c r="J3" t="str">
        <f t="shared" ref="J3:J12" si="1">IF(I3&gt;=45, "Pass", "Fail")</f>
        <v>Pass</v>
      </c>
      <c r="K3" t="str">
        <f t="shared" ref="K3:K12" si="2">IF(I3&gt;=70,"A", IF(I3&gt;=60,"B", IF(I3&gt;=50,"C", IF(I3&gt;=45,"D", "F"))))</f>
        <v>A</v>
      </c>
      <c r="L3">
        <f t="shared" ref="L3:L12" si="3">_xlfn.RANK.EQ(I3,$I$3:$I$12,0)</f>
        <v>1</v>
      </c>
      <c r="M3" t="s">
        <v>34</v>
      </c>
      <c r="N3" s="6"/>
      <c r="O3" s="7"/>
    </row>
    <row r="4" spans="1:15" x14ac:dyDescent="0.2">
      <c r="A4" t="s">
        <v>17</v>
      </c>
      <c r="B4" t="s">
        <v>27</v>
      </c>
      <c r="C4">
        <v>100</v>
      </c>
      <c r="D4">
        <v>71</v>
      </c>
      <c r="E4">
        <v>100</v>
      </c>
      <c r="F4">
        <v>82</v>
      </c>
      <c r="G4">
        <v>100</v>
      </c>
      <c r="H4">
        <f t="shared" si="0"/>
        <v>453</v>
      </c>
      <c r="I4">
        <f t="shared" ref="I4:I12" si="4">AVERAGE(C4:G4)</f>
        <v>90.6</v>
      </c>
      <c r="J4" t="str">
        <f t="shared" si="1"/>
        <v>Pass</v>
      </c>
      <c r="K4" t="str">
        <f t="shared" si="2"/>
        <v>A</v>
      </c>
      <c r="L4">
        <f t="shared" si="3"/>
        <v>2</v>
      </c>
      <c r="M4" t="s">
        <v>35</v>
      </c>
      <c r="N4" s="6"/>
      <c r="O4" s="7"/>
    </row>
    <row r="5" spans="1:15" x14ac:dyDescent="0.2">
      <c r="A5" t="s">
        <v>10</v>
      </c>
      <c r="B5" t="s">
        <v>20</v>
      </c>
      <c r="C5">
        <v>70</v>
      </c>
      <c r="D5">
        <v>91</v>
      </c>
      <c r="E5">
        <v>90</v>
      </c>
      <c r="F5">
        <v>97</v>
      </c>
      <c r="G5">
        <v>100</v>
      </c>
      <c r="H5">
        <f t="shared" si="0"/>
        <v>448</v>
      </c>
      <c r="I5">
        <f t="shared" si="4"/>
        <v>89.6</v>
      </c>
      <c r="J5" t="str">
        <f t="shared" si="1"/>
        <v>Pass</v>
      </c>
      <c r="K5" t="str">
        <f t="shared" si="2"/>
        <v>A</v>
      </c>
      <c r="L5">
        <f t="shared" si="3"/>
        <v>3</v>
      </c>
      <c r="M5" t="s">
        <v>35</v>
      </c>
      <c r="N5" s="5"/>
      <c r="O5" s="8"/>
    </row>
    <row r="6" spans="1:15" x14ac:dyDescent="0.2">
      <c r="A6" t="s">
        <v>12</v>
      </c>
      <c r="B6" t="s">
        <v>22</v>
      </c>
      <c r="C6">
        <v>73</v>
      </c>
      <c r="D6">
        <v>78</v>
      </c>
      <c r="E6">
        <v>100</v>
      </c>
      <c r="F6">
        <v>78</v>
      </c>
      <c r="G6">
        <v>72</v>
      </c>
      <c r="H6">
        <f t="shared" si="0"/>
        <v>401</v>
      </c>
      <c r="I6">
        <f t="shared" si="4"/>
        <v>80.2</v>
      </c>
      <c r="J6" t="str">
        <f t="shared" si="1"/>
        <v>Pass</v>
      </c>
      <c r="K6" t="str">
        <f t="shared" si="2"/>
        <v>A</v>
      </c>
      <c r="L6">
        <f t="shared" si="3"/>
        <v>4</v>
      </c>
      <c r="M6" t="s">
        <v>35</v>
      </c>
      <c r="N6" s="5"/>
      <c r="O6" s="9"/>
    </row>
    <row r="7" spans="1:15" x14ac:dyDescent="0.2">
      <c r="A7" t="s">
        <v>11</v>
      </c>
      <c r="B7" t="s">
        <v>21</v>
      </c>
      <c r="C7">
        <v>63</v>
      </c>
      <c r="D7">
        <v>70</v>
      </c>
      <c r="E7">
        <v>68</v>
      </c>
      <c r="F7">
        <v>82</v>
      </c>
      <c r="G7">
        <v>69</v>
      </c>
      <c r="H7">
        <f t="shared" si="0"/>
        <v>352</v>
      </c>
      <c r="I7">
        <f t="shared" si="4"/>
        <v>70.400000000000006</v>
      </c>
      <c r="J7" t="str">
        <f t="shared" si="1"/>
        <v>Pass</v>
      </c>
      <c r="K7" t="str">
        <f t="shared" si="2"/>
        <v>A</v>
      </c>
      <c r="L7">
        <f t="shared" si="3"/>
        <v>5</v>
      </c>
      <c r="M7" t="s">
        <v>35</v>
      </c>
      <c r="N7" s="5"/>
      <c r="O7" s="10"/>
    </row>
    <row r="8" spans="1:15" x14ac:dyDescent="0.2">
      <c r="A8" t="s">
        <v>15</v>
      </c>
      <c r="B8" t="s">
        <v>25</v>
      </c>
      <c r="C8">
        <v>100</v>
      </c>
      <c r="D8">
        <v>56</v>
      </c>
      <c r="E8">
        <v>70</v>
      </c>
      <c r="F8">
        <v>40</v>
      </c>
      <c r="G8">
        <v>68</v>
      </c>
      <c r="H8">
        <f t="shared" si="0"/>
        <v>334</v>
      </c>
      <c r="I8">
        <f t="shared" si="4"/>
        <v>66.8</v>
      </c>
      <c r="J8" t="str">
        <f t="shared" si="1"/>
        <v>Pass</v>
      </c>
      <c r="K8" t="str">
        <f t="shared" si="2"/>
        <v>B</v>
      </c>
      <c r="L8">
        <f t="shared" si="3"/>
        <v>6</v>
      </c>
      <c r="M8" t="s">
        <v>34</v>
      </c>
      <c r="N8" s="5"/>
      <c r="O8" s="7"/>
    </row>
    <row r="9" spans="1:15" x14ac:dyDescent="0.2">
      <c r="A9" t="s">
        <v>8</v>
      </c>
      <c r="B9" t="s">
        <v>18</v>
      </c>
      <c r="C9">
        <v>75</v>
      </c>
      <c r="D9">
        <v>52</v>
      </c>
      <c r="E9">
        <v>90</v>
      </c>
      <c r="F9">
        <v>32</v>
      </c>
      <c r="G9">
        <v>81</v>
      </c>
      <c r="H9">
        <f t="shared" si="0"/>
        <v>330</v>
      </c>
      <c r="I9">
        <f t="shared" si="4"/>
        <v>66</v>
      </c>
      <c r="J9" t="str">
        <f t="shared" si="1"/>
        <v>Pass</v>
      </c>
      <c r="K9" t="str">
        <f t="shared" si="2"/>
        <v>B</v>
      </c>
      <c r="L9">
        <f t="shared" si="3"/>
        <v>7</v>
      </c>
      <c r="M9" t="s">
        <v>34</v>
      </c>
      <c r="N9" s="5"/>
      <c r="O9" s="8"/>
    </row>
    <row r="10" spans="1:15" x14ac:dyDescent="0.2">
      <c r="A10" t="s">
        <v>13</v>
      </c>
      <c r="B10" t="s">
        <v>23</v>
      </c>
      <c r="C10">
        <v>68</v>
      </c>
      <c r="D10">
        <v>60</v>
      </c>
      <c r="E10">
        <v>62</v>
      </c>
      <c r="F10">
        <v>89</v>
      </c>
      <c r="G10">
        <v>41</v>
      </c>
      <c r="H10">
        <f t="shared" si="0"/>
        <v>320</v>
      </c>
      <c r="I10">
        <f t="shared" si="4"/>
        <v>64</v>
      </c>
      <c r="J10" t="str">
        <f t="shared" si="1"/>
        <v>Pass</v>
      </c>
      <c r="K10" t="str">
        <f t="shared" si="2"/>
        <v>B</v>
      </c>
      <c r="L10">
        <f t="shared" si="3"/>
        <v>8</v>
      </c>
      <c r="M10" t="s">
        <v>34</v>
      </c>
      <c r="N10" s="5"/>
      <c r="O10" s="7"/>
    </row>
    <row r="11" spans="1:15" x14ac:dyDescent="0.2">
      <c r="A11" t="s">
        <v>16</v>
      </c>
      <c r="B11" t="s">
        <v>26</v>
      </c>
      <c r="C11">
        <v>50</v>
      </c>
      <c r="D11">
        <v>57</v>
      </c>
      <c r="E11">
        <v>55</v>
      </c>
      <c r="F11">
        <v>49</v>
      </c>
      <c r="G11">
        <v>61</v>
      </c>
      <c r="H11">
        <f t="shared" si="0"/>
        <v>272</v>
      </c>
      <c r="I11">
        <f t="shared" si="4"/>
        <v>54.4</v>
      </c>
      <c r="J11" t="str">
        <f t="shared" si="1"/>
        <v>Pass</v>
      </c>
      <c r="K11" t="str">
        <f t="shared" si="2"/>
        <v>C</v>
      </c>
      <c r="L11">
        <f t="shared" si="3"/>
        <v>9</v>
      </c>
      <c r="M11" t="s">
        <v>34</v>
      </c>
      <c r="N11" s="5"/>
      <c r="O11" s="11"/>
    </row>
    <row r="12" spans="1:15" x14ac:dyDescent="0.2">
      <c r="A12" t="s">
        <v>9</v>
      </c>
      <c r="B12" t="s">
        <v>19</v>
      </c>
      <c r="C12">
        <v>23</v>
      </c>
      <c r="D12">
        <v>76</v>
      </c>
      <c r="E12">
        <v>59</v>
      </c>
      <c r="F12">
        <v>18</v>
      </c>
      <c r="G12">
        <v>50</v>
      </c>
      <c r="H12">
        <f t="shared" si="0"/>
        <v>226</v>
      </c>
      <c r="I12">
        <f t="shared" si="4"/>
        <v>45.2</v>
      </c>
      <c r="J12" t="str">
        <f t="shared" si="1"/>
        <v>Pass</v>
      </c>
      <c r="K12" t="str">
        <f t="shared" si="2"/>
        <v>D</v>
      </c>
      <c r="L12">
        <f t="shared" si="3"/>
        <v>10</v>
      </c>
      <c r="M12" t="s">
        <v>35</v>
      </c>
    </row>
  </sheetData>
  <mergeCells count="1">
    <mergeCell ref="A1:M1"/>
  </mergeCells>
  <phoneticPr fontId="2" type="noConversion"/>
  <conditionalFormatting sqref="A2">
    <cfRule type="cellIs" dxfId="6" priority="11" operator="between">
      <formula>45</formula>
      <formula>69</formula>
    </cfRule>
    <cfRule type="cellIs" dxfId="5" priority="12" operator="lessThan">
      <formula>45</formula>
    </cfRule>
  </conditionalFormatting>
  <conditionalFormatting sqref="I2:I12">
    <cfRule type="colorScale" priority="2">
      <colorScale>
        <cfvo type="min"/>
        <cfvo type="max"/>
        <color rgb="FFFFEF9C"/>
        <color rgb="FF63BE7B"/>
      </colorScale>
    </cfRule>
    <cfRule type="top10" dxfId="4" priority="3" bottom="1" rank="5"/>
    <cfRule type="top10" dxfId="3" priority="4" rank="5"/>
    <cfRule type="colorScale" priority="5">
      <colorScale>
        <cfvo type="min"/>
        <cfvo type="percentile" val="50"/>
        <cfvo type="max"/>
        <color rgb="FFF8696B"/>
        <color rgb="FFFFEB84"/>
        <color rgb="FF63BE7B"/>
      </colorScale>
    </cfRule>
    <cfRule type="cellIs" dxfId="2" priority="8" operator="greaterThan">
      <formula>70</formula>
    </cfRule>
    <cfRule type="cellIs" dxfId="1" priority="9" operator="between">
      <formula>45</formula>
      <formula>69</formula>
    </cfRule>
  </conditionalFormatting>
  <conditionalFormatting sqref="K2:K12">
    <cfRule type="colorScale" priority="1">
      <colorScale>
        <cfvo type="min"/>
        <cfvo type="max"/>
        <color rgb="FFFFEF9C"/>
        <color rgb="FF63BE7B"/>
      </colorScale>
    </cfRule>
  </conditionalFormatting>
  <conditionalFormatting sqref="K13">
    <cfRule type="dataBar" priority="7">
      <dataBar>
        <cfvo type="min"/>
        <cfvo type="max"/>
        <color rgb="FF63C384"/>
      </dataBar>
      <extLst>
        <ext xmlns:x14="http://schemas.microsoft.com/office/spreadsheetml/2009/9/main" uri="{B025F937-C7B1-47D3-B67F-A62EFF666E3E}">
          <x14:id>{3FBC56CC-A0CC-49BC-B9B4-5993824D6AC0}</x14:id>
        </ext>
      </extLst>
    </cfRule>
  </conditionalFormatting>
  <conditionalFormatting sqref="K2:M2">
    <cfRule type="cellIs" dxfId="0" priority="10" operator="between">
      <formula>45</formula>
      <formula>69</formula>
    </cfRule>
  </conditionalFormatting>
  <dataValidations count="2">
    <dataValidation type="list" allowBlank="1" showInputMessage="1" showErrorMessage="1" sqref="M2:M12" xr:uid="{995B57F0-3C2A-41BE-A935-FA7D886F5121}">
      <formula1>"Male, Female"</formula1>
    </dataValidation>
    <dataValidation type="whole" errorStyle="information" allowBlank="1" showInputMessage="1" showErrorMessage="1" error="Oops!" prompt="Enter score from 0 - 100" sqref="C2:G12" xr:uid="{56138B72-2E47-4D30-B1A8-CE71A0AD36EA}">
      <formula1>0</formula1>
      <formula2>100</formula2>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FBC56CC-A0CC-49BC-B9B4-5993824D6AC0}">
            <x14:dataBar minLength="0" maxLength="100" border="1" negativeBarBorderColorSameAsPositive="0">
              <x14:cfvo type="autoMin"/>
              <x14:cfvo type="autoMax"/>
              <x14:borderColor rgb="FF63C384"/>
              <x14:negativeFillColor rgb="FFFF0000"/>
              <x14:negativeBorderColor rgb="FFFF0000"/>
              <x14:axisColor rgb="FF000000"/>
            </x14:dataBar>
          </x14:cfRule>
          <xm:sqref>K13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58-A8B3-4DD2-84FD-5023A4534CFD}">
  <dimension ref="A1:I8"/>
  <sheetViews>
    <sheetView workbookViewId="0">
      <pane ySplit="1" topLeftCell="A2" activePane="bottomLeft" state="frozen"/>
      <selection pane="bottomLeft" activeCell="A3" sqref="A3:F3"/>
    </sheetView>
  </sheetViews>
  <sheetFormatPr defaultRowHeight="14.25" x14ac:dyDescent="0.2"/>
  <sheetData>
    <row r="1" spans="1:9" ht="25.5" x14ac:dyDescent="0.35">
      <c r="A1" s="20" t="s">
        <v>36</v>
      </c>
      <c r="B1" s="20"/>
      <c r="C1" s="20"/>
      <c r="D1" s="20"/>
      <c r="E1" s="20"/>
      <c r="F1" s="20"/>
    </row>
    <row r="2" spans="1:9" ht="42" customHeight="1" x14ac:dyDescent="0.2">
      <c r="A2" s="19" t="s">
        <v>37</v>
      </c>
      <c r="B2" s="19"/>
      <c r="C2" s="19"/>
      <c r="D2" s="19"/>
      <c r="E2" s="19"/>
      <c r="F2" s="19"/>
      <c r="G2" s="13"/>
    </row>
    <row r="3" spans="1:9" ht="42" customHeight="1" x14ac:dyDescent="0.2">
      <c r="A3" s="19" t="s">
        <v>38</v>
      </c>
      <c r="B3" s="19"/>
      <c r="C3" s="19"/>
      <c r="D3" s="19"/>
      <c r="E3" s="19"/>
      <c r="F3" s="19"/>
    </row>
    <row r="4" spans="1:9" ht="42" customHeight="1" x14ac:dyDescent="0.2">
      <c r="A4" s="19" t="s">
        <v>39</v>
      </c>
      <c r="B4" s="19"/>
      <c r="C4" s="19"/>
      <c r="D4" s="19"/>
      <c r="E4" s="19"/>
      <c r="F4" s="19"/>
      <c r="I4" s="13"/>
    </row>
    <row r="5" spans="1:9" ht="42" customHeight="1" x14ac:dyDescent="0.2">
      <c r="A5" s="19" t="s">
        <v>40</v>
      </c>
      <c r="B5" s="19"/>
      <c r="C5" s="19"/>
      <c r="D5" s="19"/>
      <c r="E5" s="19"/>
      <c r="F5" s="19"/>
    </row>
    <row r="6" spans="1:9" ht="42" customHeight="1" x14ac:dyDescent="0.2">
      <c r="A6" s="19" t="s">
        <v>41</v>
      </c>
      <c r="B6" s="19"/>
      <c r="C6" s="19"/>
      <c r="D6" s="19"/>
      <c r="E6" s="19"/>
      <c r="F6" s="19"/>
    </row>
    <row r="7" spans="1:9" ht="42" customHeight="1" x14ac:dyDescent="0.2">
      <c r="A7" s="19" t="s">
        <v>42</v>
      </c>
      <c r="B7" s="19"/>
      <c r="C7" s="19"/>
      <c r="D7" s="19"/>
      <c r="E7" s="19"/>
      <c r="F7" s="19"/>
    </row>
    <row r="8" spans="1:9" ht="42" customHeight="1" x14ac:dyDescent="0.2">
      <c r="A8" s="19" t="s">
        <v>43</v>
      </c>
      <c r="B8" s="19"/>
      <c r="C8" s="19"/>
      <c r="D8" s="19"/>
      <c r="E8" s="19"/>
      <c r="F8" s="19"/>
    </row>
  </sheetData>
  <mergeCells count="8">
    <mergeCell ref="A6:F6"/>
    <mergeCell ref="A7:F7"/>
    <mergeCell ref="A8:F8"/>
    <mergeCell ref="A1:F1"/>
    <mergeCell ref="A2:F2"/>
    <mergeCell ref="A3:F3"/>
    <mergeCell ref="A4:F4"/>
    <mergeCell ref="A5:F5"/>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44DE-486C-4615-B051-470196394347}">
  <dimension ref="A1:D15"/>
  <sheetViews>
    <sheetView workbookViewId="0">
      <selection activeCell="C11" sqref="C11"/>
    </sheetView>
  </sheetViews>
  <sheetFormatPr defaultRowHeight="14.25" x14ac:dyDescent="0.2"/>
  <cols>
    <col min="3" max="3" width="13.875" customWidth="1"/>
  </cols>
  <sheetData>
    <row r="1" spans="1:4" x14ac:dyDescent="0.2">
      <c r="A1" s="22" t="s">
        <v>44</v>
      </c>
      <c r="B1" s="22"/>
      <c r="C1" s="22"/>
      <c r="D1" s="22"/>
    </row>
    <row r="2" spans="1:4" x14ac:dyDescent="0.2">
      <c r="A2" s="22"/>
      <c r="B2" s="22"/>
      <c r="C2" s="22"/>
      <c r="D2" s="22"/>
    </row>
    <row r="3" spans="1:4" x14ac:dyDescent="0.2">
      <c r="A3" s="21" t="s">
        <v>45</v>
      </c>
      <c r="B3" s="21"/>
      <c r="C3" s="14" t="s">
        <v>8</v>
      </c>
    </row>
    <row r="4" spans="1:4" x14ac:dyDescent="0.2">
      <c r="A4" s="21"/>
      <c r="B4" s="21"/>
      <c r="C4" s="14"/>
    </row>
    <row r="5" spans="1:4" x14ac:dyDescent="0.2">
      <c r="A5" s="21" t="s">
        <v>1</v>
      </c>
      <c r="B5" s="21"/>
      <c r="C5" s="14" t="str">
        <f>IFERROR(VLOOKUP(C3, 'Student Scores'!A:M,2,FALSE), "Student not found")</f>
        <v>Ada</v>
      </c>
    </row>
    <row r="6" spans="1:4" x14ac:dyDescent="0.2">
      <c r="A6" s="21"/>
      <c r="B6" s="21"/>
      <c r="C6" s="14"/>
    </row>
    <row r="7" spans="1:4" x14ac:dyDescent="0.2">
      <c r="A7" s="21" t="s">
        <v>7</v>
      </c>
      <c r="B7" s="21"/>
      <c r="C7" s="14">
        <f>IFERROR(VLOOKUP(C3, 'Student Scores'!A:M,9,FALSE),"")</f>
        <v>66</v>
      </c>
    </row>
    <row r="8" spans="1:4" x14ac:dyDescent="0.2">
      <c r="A8" s="21"/>
      <c r="B8" s="21"/>
      <c r="C8" s="14"/>
    </row>
    <row r="9" spans="1:4" x14ac:dyDescent="0.2">
      <c r="A9" s="21" t="s">
        <v>29</v>
      </c>
      <c r="B9" s="21"/>
      <c r="C9" s="14" t="str">
        <f>IFERROR(VLOOKUP(C3, 'Student Scores'!A:M, 11,FALSE), "")</f>
        <v>B</v>
      </c>
    </row>
    <row r="10" spans="1:4" x14ac:dyDescent="0.2">
      <c r="A10" s="21"/>
      <c r="B10" s="21"/>
      <c r="C10" s="14"/>
    </row>
    <row r="11" spans="1:4" x14ac:dyDescent="0.2">
      <c r="A11" s="21" t="s">
        <v>32</v>
      </c>
      <c r="B11" s="21"/>
      <c r="C11" s="14">
        <f>IFERROR(VLOOKUP(C3, 'Student Scores'!A:M,12,FALSE), "")</f>
        <v>7</v>
      </c>
    </row>
    <row r="12" spans="1:4" x14ac:dyDescent="0.2">
      <c r="A12" s="21"/>
      <c r="B12" s="21"/>
      <c r="C12" s="14"/>
    </row>
    <row r="13" spans="1:4" x14ac:dyDescent="0.2">
      <c r="A13" s="21" t="s">
        <v>30</v>
      </c>
      <c r="B13" s="21"/>
      <c r="C13" s="14" t="str">
        <f>IFERROR(VLOOKUP(C3, 'Student Scores'!A:M,10,FALSE), "")</f>
        <v>Pass</v>
      </c>
    </row>
    <row r="14" spans="1:4" x14ac:dyDescent="0.2">
      <c r="A14" s="21"/>
      <c r="B14" s="21"/>
      <c r="C14" s="14"/>
    </row>
    <row r="15" spans="1:4" x14ac:dyDescent="0.2">
      <c r="A15" s="21" t="s">
        <v>33</v>
      </c>
      <c r="B15" s="21"/>
      <c r="C15" s="14" t="str">
        <f>IFERROR(VLOOKUP(C3,'Student Scores'!A:M, 13,FALSE), "")</f>
        <v>Female</v>
      </c>
    </row>
  </sheetData>
  <mergeCells count="14">
    <mergeCell ref="A15:B15"/>
    <mergeCell ref="A4:B4"/>
    <mergeCell ref="A1:D2"/>
    <mergeCell ref="A3:B3"/>
    <mergeCell ref="A5:B5"/>
    <mergeCell ref="A7:B7"/>
    <mergeCell ref="A9:B9"/>
    <mergeCell ref="A6:B6"/>
    <mergeCell ref="A8:B8"/>
    <mergeCell ref="A10:B10"/>
    <mergeCell ref="A12:B12"/>
    <mergeCell ref="A14:B14"/>
    <mergeCell ref="A11:B11"/>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BA9D-90B2-4CAC-B431-16C92C8033D5}">
  <dimension ref="A1:G40"/>
  <sheetViews>
    <sheetView tabSelected="1" workbookViewId="0">
      <pane ySplit="1" topLeftCell="A2" activePane="bottomLeft" state="frozen"/>
      <selection pane="bottomLeft" activeCell="F10" sqref="F10"/>
    </sheetView>
  </sheetViews>
  <sheetFormatPr defaultRowHeight="14.25" x14ac:dyDescent="0.2"/>
  <cols>
    <col min="1" max="1" width="16.25" bestFit="1" customWidth="1"/>
    <col min="2" max="2" width="14.375" bestFit="1" customWidth="1"/>
    <col min="3" max="3" width="4.75" bestFit="1" customWidth="1"/>
    <col min="4" max="4" width="10.125" bestFit="1" customWidth="1"/>
    <col min="5" max="5" width="21.75" bestFit="1" customWidth="1"/>
    <col min="6" max="6" width="18.375" bestFit="1" customWidth="1"/>
  </cols>
  <sheetData>
    <row r="1" spans="1:7" s="17" customFormat="1" ht="30" x14ac:dyDescent="0.4">
      <c r="A1" s="24" t="s">
        <v>63</v>
      </c>
      <c r="B1" s="24"/>
      <c r="C1" s="24"/>
      <c r="D1" s="24"/>
      <c r="E1" s="24"/>
      <c r="F1" s="24"/>
      <c r="G1" s="24"/>
    </row>
    <row r="2" spans="1:7" ht="18.75" x14ac:dyDescent="0.3">
      <c r="A2" s="23" t="s">
        <v>64</v>
      </c>
      <c r="B2" s="23"/>
      <c r="C2" s="23"/>
      <c r="D2" s="23"/>
      <c r="E2" s="23"/>
    </row>
    <row r="3" spans="1:7" x14ac:dyDescent="0.2">
      <c r="A3" s="15" t="s">
        <v>46</v>
      </c>
      <c r="B3" t="s">
        <v>52</v>
      </c>
    </row>
    <row r="4" spans="1:7" x14ac:dyDescent="0.2">
      <c r="A4" s="16" t="s">
        <v>47</v>
      </c>
      <c r="B4">
        <v>5</v>
      </c>
    </row>
    <row r="5" spans="1:7" x14ac:dyDescent="0.2">
      <c r="A5" s="16" t="s">
        <v>48</v>
      </c>
      <c r="B5">
        <v>3</v>
      </c>
    </row>
    <row r="6" spans="1:7" x14ac:dyDescent="0.2">
      <c r="A6" s="16" t="s">
        <v>49</v>
      </c>
      <c r="B6">
        <v>1</v>
      </c>
    </row>
    <row r="7" spans="1:7" x14ac:dyDescent="0.2">
      <c r="A7" s="16" t="s">
        <v>50</v>
      </c>
      <c r="B7">
        <v>1</v>
      </c>
    </row>
    <row r="8" spans="1:7" x14ac:dyDescent="0.2">
      <c r="A8" s="16" t="s">
        <v>51</v>
      </c>
      <c r="B8">
        <v>10</v>
      </c>
    </row>
    <row r="12" spans="1:7" ht="18.75" x14ac:dyDescent="0.3">
      <c r="A12" s="23" t="s">
        <v>65</v>
      </c>
      <c r="B12" s="25"/>
      <c r="C12" s="25"/>
      <c r="D12" s="25"/>
      <c r="E12" s="25"/>
    </row>
    <row r="13" spans="1:7" x14ac:dyDescent="0.2">
      <c r="A13" t="s">
        <v>53</v>
      </c>
      <c r="B13" t="s">
        <v>54</v>
      </c>
      <c r="C13" t="s">
        <v>55</v>
      </c>
      <c r="D13" t="s">
        <v>56</v>
      </c>
      <c r="E13" t="s">
        <v>57</v>
      </c>
    </row>
    <row r="14" spans="1:7" x14ac:dyDescent="0.2">
      <c r="A14">
        <v>71.2</v>
      </c>
      <c r="B14">
        <v>70.8</v>
      </c>
      <c r="C14">
        <v>79.400000000000006</v>
      </c>
      <c r="D14">
        <v>65.3</v>
      </c>
      <c r="E14">
        <v>72.400000000000006</v>
      </c>
    </row>
    <row r="18" spans="1:5" ht="18.75" x14ac:dyDescent="0.3">
      <c r="A18" s="23" t="s">
        <v>66</v>
      </c>
      <c r="B18" s="23"/>
      <c r="C18" s="23"/>
      <c r="D18" s="23"/>
      <c r="E18" s="23"/>
    </row>
    <row r="19" spans="1:5" x14ac:dyDescent="0.2">
      <c r="A19" s="15" t="s">
        <v>46</v>
      </c>
      <c r="B19" t="s">
        <v>59</v>
      </c>
    </row>
    <row r="20" spans="1:5" x14ac:dyDescent="0.2">
      <c r="A20" s="16" t="s">
        <v>58</v>
      </c>
      <c r="B20">
        <v>10</v>
      </c>
    </row>
    <row r="21" spans="1:5" x14ac:dyDescent="0.2">
      <c r="A21" s="16" t="s">
        <v>51</v>
      </c>
      <c r="B21">
        <v>10</v>
      </c>
    </row>
    <row r="25" spans="1:5" ht="18.75" x14ac:dyDescent="0.3">
      <c r="A25" s="23" t="s">
        <v>67</v>
      </c>
      <c r="B25" s="23"/>
      <c r="C25" s="23"/>
      <c r="D25" s="23"/>
      <c r="E25" s="23"/>
    </row>
    <row r="26" spans="1:5" x14ac:dyDescent="0.2">
      <c r="A26" s="15" t="s">
        <v>46</v>
      </c>
      <c r="B26" t="s">
        <v>61</v>
      </c>
    </row>
    <row r="27" spans="1:5" x14ac:dyDescent="0.2">
      <c r="A27" s="16" t="s">
        <v>34</v>
      </c>
      <c r="B27">
        <v>68.44</v>
      </c>
    </row>
    <row r="28" spans="1:5" x14ac:dyDescent="0.2">
      <c r="A28" s="16" t="s">
        <v>35</v>
      </c>
      <c r="B28">
        <v>75.199999999999989</v>
      </c>
    </row>
    <row r="29" spans="1:5" x14ac:dyDescent="0.2">
      <c r="A29" s="16" t="s">
        <v>51</v>
      </c>
      <c r="B29">
        <v>71.820000000000007</v>
      </c>
    </row>
    <row r="33" spans="1:5" ht="18.75" x14ac:dyDescent="0.3">
      <c r="A33" s="23" t="s">
        <v>68</v>
      </c>
      <c r="B33" s="23"/>
      <c r="C33" s="23"/>
      <c r="D33" s="23"/>
      <c r="E33" s="23"/>
    </row>
    <row r="34" spans="1:5" x14ac:dyDescent="0.2">
      <c r="A34" s="15" t="s">
        <v>62</v>
      </c>
      <c r="B34" s="15" t="s">
        <v>60</v>
      </c>
    </row>
    <row r="35" spans="1:5" x14ac:dyDescent="0.2">
      <c r="A35" s="15" t="s">
        <v>46</v>
      </c>
      <c r="B35" t="s">
        <v>34</v>
      </c>
      <c r="C35" t="s">
        <v>35</v>
      </c>
      <c r="D35" t="s">
        <v>51</v>
      </c>
    </row>
    <row r="36" spans="1:5" x14ac:dyDescent="0.2">
      <c r="A36" s="16" t="s">
        <v>47</v>
      </c>
      <c r="B36">
        <v>1</v>
      </c>
      <c r="C36">
        <v>4</v>
      </c>
      <c r="D36">
        <v>5</v>
      </c>
    </row>
    <row r="37" spans="1:5" x14ac:dyDescent="0.2">
      <c r="A37" s="16" t="s">
        <v>48</v>
      </c>
      <c r="B37">
        <v>3</v>
      </c>
      <c r="D37">
        <v>3</v>
      </c>
    </row>
    <row r="38" spans="1:5" x14ac:dyDescent="0.2">
      <c r="A38" s="16" t="s">
        <v>49</v>
      </c>
      <c r="B38">
        <v>1</v>
      </c>
      <c r="D38">
        <v>1</v>
      </c>
    </row>
    <row r="39" spans="1:5" x14ac:dyDescent="0.2">
      <c r="A39" s="16" t="s">
        <v>50</v>
      </c>
      <c r="C39">
        <v>1</v>
      </c>
      <c r="D39">
        <v>1</v>
      </c>
    </row>
    <row r="40" spans="1:5" x14ac:dyDescent="0.2">
      <c r="A40" s="16" t="s">
        <v>51</v>
      </c>
      <c r="B40">
        <v>5</v>
      </c>
      <c r="C40">
        <v>5</v>
      </c>
      <c r="D40">
        <v>10</v>
      </c>
    </row>
  </sheetData>
  <mergeCells count="6">
    <mergeCell ref="A33:E33"/>
    <mergeCell ref="A1:G1"/>
    <mergeCell ref="A2:E2"/>
    <mergeCell ref="A12:E12"/>
    <mergeCell ref="A18:E18"/>
    <mergeCell ref="A25:E25"/>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 Scores</vt:lpstr>
      <vt:lpstr>Dashboard</vt:lpstr>
      <vt:lpstr>Student Search</vt:lpstr>
      <vt:lpstr>Pivot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Chizaram Okoro</dc:creator>
  <cp:lastModifiedBy>Chizaram Okoro</cp:lastModifiedBy>
  <dcterms:created xsi:type="dcterms:W3CDTF">2026-07-27T11:30:15Z</dcterms:created>
  <dcterms:modified xsi:type="dcterms:W3CDTF">2026-09-30T00:21:28Z</dcterms:modified>
</cp:coreProperties>
</file>